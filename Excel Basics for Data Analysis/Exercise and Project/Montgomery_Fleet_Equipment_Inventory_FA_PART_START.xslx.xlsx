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67ac5fea7c8a93/IBM data analysis and science professional certificate/2) Excel Basics for Data Analysis/Exercise Excel Basics for Data Analyst/"/>
    </mc:Choice>
  </mc:AlternateContent>
  <xr:revisionPtr revIDLastSave="0" documentId="8_{A4B693A8-7BD9-5240-B595-25FCF65C9C3D}" xr6:coauthVersionLast="47" xr6:coauthVersionMax="47" xr10:uidLastSave="{00000000-0000-0000-0000-000000000000}"/>
  <bookViews>
    <workbookView xWindow="0" yWindow="680" windowWidth="23240" windowHeight="12560" activeTab="4" xr2:uid="{00000000-000D-0000-FFFF-FFFF00000000}"/>
  </bookViews>
  <sheets>
    <sheet name="Pivot1" sheetId="2" r:id="rId1"/>
    <sheet name="Pivot2" sheetId="4" r:id="rId2"/>
    <sheet name="Pivot3" sheetId="5" r:id="rId3"/>
    <sheet name="Montgomery_Fleet_Equipment_In2" sheetId="1" r:id="rId4"/>
    <sheet name="Montgomery_Fleet_Equipment_In1" sheetId="6" r:id="rId5"/>
  </sheets>
  <definedNames>
    <definedName name="_xlnm._FilterDatabase" localSheetId="3" hidden="1">Montgomery_Fleet_Equipment_In2!$A$1:$C$50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3" i="1"/>
  <c r="F2" i="1"/>
  <c r="F1" i="1"/>
</calcChain>
</file>

<file path=xl/sharedStrings.xml><?xml version="1.0" encoding="utf-8"?>
<sst xmlns="http://schemas.openxmlformats.org/spreadsheetml/2006/main" count="305" uniqueCount="61">
  <si>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</si>
  <si>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</si>
  <si>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</si>
  <si>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</si>
  <si>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</si>
  <si>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</si>
  <si>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</si>
  <si>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</si>
  <si>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</si>
  <si>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</si>
  <si>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</si>
  <si>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</si>
  <si>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</si>
  <si>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</si>
  <si>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</si>
  <si>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</si>
  <si>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</si>
  <si>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</si>
  <si>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</si>
  <si>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</si>
  <si>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</si>
  <si>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</si>
  <si>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</si>
  <si>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</si>
  <si>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</si>
  <si>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</si>
  <si>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</si>
  <si>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</si>
  <si>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</si>
  <si>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</si>
  <si>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</si>
  <si>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Minimum</t>
  </si>
  <si>
    <t>Count</t>
  </si>
  <si>
    <t xml:space="preserve">Maximum </t>
  </si>
  <si>
    <t>Row Labels</t>
  </si>
  <si>
    <t>Grand Total</t>
  </si>
  <si>
    <t>Sum of Equipment Count</t>
  </si>
  <si>
    <t>Board of</t>
  </si>
  <si>
    <t>Elections</t>
  </si>
  <si>
    <t>Circuit</t>
  </si>
  <si>
    <t>Court</t>
  </si>
  <si>
    <t>Community Use of Public</t>
  </si>
  <si>
    <t>Facilities</t>
  </si>
  <si>
    <t>Consumer</t>
  </si>
  <si>
    <t>Protection</t>
  </si>
  <si>
    <t>Correction and</t>
  </si>
  <si>
    <t>Rehabilitation</t>
  </si>
  <si>
    <t>Economic</t>
  </si>
  <si>
    <t>Development</t>
  </si>
  <si>
    <t>Environmental</t>
  </si>
  <si>
    <t>Fire and</t>
  </si>
  <si>
    <t>Rescue</t>
  </si>
  <si>
    <t>Public Safety Heavy Duty</t>
  </si>
  <si>
    <t>General</t>
  </si>
  <si>
    <t>Services</t>
  </si>
  <si>
    <t>Health and Human</t>
  </si>
  <si>
    <t>Community Engagement</t>
  </si>
  <si>
    <t>Cluster</t>
  </si>
  <si>
    <t>County Executives</t>
  </si>
  <si>
    <t>Office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</si>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</sst>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Lam" refreshedDate="45746.705651388889" createdVersion="8" refreshedVersion="8" minRefreshableVersion="3" recordCount="49" xr:uid="{38EE089B-E5CD-4CF6-AB58-CB2982ECD74F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D799CB-EDD1-4757-B7FC-D0FFECC5CC0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17F2A-722C-4B05-B737-CCB0B520427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3">
    <pivotField axis="axisRow" showAll="0" sortType="descending">
      <items count="1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11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6B28D9-C90E-4BD8-BFEB-2C721A14F95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5">
        <item x="6"/>
        <item h="1" x="5"/>
        <item h="1" x="4"/>
        <item h="1" x="7"/>
        <item h="1" x="0"/>
        <item h="1" x="10"/>
        <item h="1" x="12"/>
        <item h="1" x="11"/>
        <item h="1" x="8"/>
        <item h="1" x="9"/>
        <item h="1" x="2"/>
        <item h="1" x="1"/>
        <item h="1" x="13"/>
        <item h="1" x="3"/>
        <item t="default"/>
      </items>
    </pivotField>
    <pivotField dataField="1" showAll="0"/>
  </pivotFields>
  <rowFields count="2">
    <field x="0"/>
    <field x="1"/>
  </rowFields>
  <rowItems count="7">
    <i>
      <x v="5"/>
    </i>
    <i r="1">
      <x/>
    </i>
    <i>
      <x v="10"/>
    </i>
    <i r="1">
      <x/>
    </i>
    <i>
      <x v="11"/>
    </i>
    <i r="1">
      <x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DC62D6-8FE7-41E3-A5E3-C637522DF07A}" name="Table1" displayName="Table1" ref="A1:C50" totalsRowShown="0">
  <autoFilter ref="A1:C50" xr:uid="{3DDC62D6-8FE7-41E3-A5E3-C637522DF07A}"/>
  <tableColumns count="3">
    <tableColumn id="1" xr3:uid="{A7DB5E07-D8B1-42D5-AA2E-7171D211B630}" name="Department"/>
    <tableColumn id="2" xr3:uid="{DC109A9E-03FC-4BB3-AA57-58B2032AA5E6}" name="Equipment Class"/>
    <tableColumn id="3" xr3:uid="{A8FF4F95-956A-4B58-910B-5A51FCF26A0E}" name="Equipment Count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8E1E-25FE-4426-B7C0-0E1C0031DD57}">
  <dimension ref="A3:B16"/>
  <sheetViews>
    <sheetView workbookViewId="0">
      <selection activeCell="A26" sqref="A26"/>
    </sheetView>
  </sheetViews>
  <sheetFormatPr baseColWidth="10" defaultColWidth="8.83203125" defaultRowHeight="15" x14ac:dyDescent="0.2"/>
  <cols>
    <col min="1" max="1" width="25.6640625" bestFit="1" customWidth="1"/>
    <col min="2" max="2" width="21.1640625" bestFit="1" customWidth="1"/>
  </cols>
  <sheetData>
    <row r="3" spans="1:2" x14ac:dyDescent="0.2">
      <c r="A3" s="1" t="s">
        <v>34</v>
      </c>
      <c r="B3" t="s">
        <v>36</v>
      </c>
    </row>
    <row r="4" spans="1:2" x14ac:dyDescent="0.2">
      <c r="A4" s="2" t="s">
        <v>26</v>
      </c>
      <c r="B4">
        <v>1221</v>
      </c>
    </row>
    <row r="5" spans="1:2" x14ac:dyDescent="0.2">
      <c r="A5" s="2" t="s">
        <v>15</v>
      </c>
      <c r="B5">
        <v>109</v>
      </c>
    </row>
    <row r="6" spans="1:2" x14ac:dyDescent="0.2">
      <c r="A6" s="2" t="s">
        <v>19</v>
      </c>
      <c r="B6">
        <v>85</v>
      </c>
    </row>
    <row r="7" spans="1:2" x14ac:dyDescent="0.2">
      <c r="A7" s="2" t="s">
        <v>12</v>
      </c>
      <c r="B7">
        <v>56</v>
      </c>
    </row>
    <row r="8" spans="1:2" x14ac:dyDescent="0.2">
      <c r="A8" s="2" t="s">
        <v>5</v>
      </c>
      <c r="B8">
        <v>45</v>
      </c>
    </row>
    <row r="9" spans="1:2" x14ac:dyDescent="0.2">
      <c r="A9" s="2" t="s">
        <v>18</v>
      </c>
      <c r="B9">
        <v>35</v>
      </c>
    </row>
    <row r="10" spans="1:2" x14ac:dyDescent="0.2">
      <c r="A10" s="2" t="s">
        <v>25</v>
      </c>
      <c r="B10">
        <v>16</v>
      </c>
    </row>
    <row r="11" spans="1:2" x14ac:dyDescent="0.2">
      <c r="A11" s="2" t="s">
        <v>9</v>
      </c>
      <c r="B11">
        <v>6</v>
      </c>
    </row>
    <row r="12" spans="1:2" x14ac:dyDescent="0.2">
      <c r="A12" s="2" t="s">
        <v>24</v>
      </c>
      <c r="B12">
        <v>5</v>
      </c>
    </row>
    <row r="13" spans="1:2" x14ac:dyDescent="0.2">
      <c r="A13" s="2" t="s">
        <v>8</v>
      </c>
      <c r="B13">
        <v>2</v>
      </c>
    </row>
    <row r="14" spans="1:2" x14ac:dyDescent="0.2">
      <c r="A14" s="2" t="s">
        <v>14</v>
      </c>
      <c r="B14">
        <v>1</v>
      </c>
    </row>
    <row r="15" spans="1:2" x14ac:dyDescent="0.2">
      <c r="A15" s="2" t="s">
        <v>17</v>
      </c>
      <c r="B15">
        <v>1</v>
      </c>
    </row>
    <row r="16" spans="1:2" x14ac:dyDescent="0.2">
      <c r="A16" s="2" t="s">
        <v>35</v>
      </c>
      <c r="B16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E278-9C80-4A8D-B4BF-0B11AA501A4D}">
  <dimension ref="A3:B14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26.5" bestFit="1" customWidth="1"/>
    <col min="2" max="2" width="21.1640625" bestFit="1" customWidth="1"/>
  </cols>
  <sheetData>
    <row r="3" spans="1:2" x14ac:dyDescent="0.2">
      <c r="A3" s="1" t="s">
        <v>34</v>
      </c>
      <c r="B3" t="s">
        <v>36</v>
      </c>
    </row>
    <row r="4" spans="1:2" x14ac:dyDescent="0.2">
      <c r="A4" s="2" t="s">
        <v>26</v>
      </c>
      <c r="B4">
        <v>1221</v>
      </c>
    </row>
    <row r="5" spans="1:2" x14ac:dyDescent="0.2">
      <c r="A5" s="3" t="s">
        <v>16</v>
      </c>
      <c r="B5">
        <v>5</v>
      </c>
    </row>
    <row r="6" spans="1:2" x14ac:dyDescent="0.2">
      <c r="A6" s="3" t="s">
        <v>13</v>
      </c>
      <c r="B6">
        <v>248</v>
      </c>
    </row>
    <row r="7" spans="1:2" x14ac:dyDescent="0.2">
      <c r="A7" s="3" t="s">
        <v>11</v>
      </c>
      <c r="B7">
        <v>98</v>
      </c>
    </row>
    <row r="8" spans="1:2" x14ac:dyDescent="0.2">
      <c r="A8" s="3" t="s">
        <v>28</v>
      </c>
      <c r="B8">
        <v>276</v>
      </c>
    </row>
    <row r="9" spans="1:2" x14ac:dyDescent="0.2">
      <c r="A9" s="3" t="s">
        <v>6</v>
      </c>
      <c r="B9">
        <v>93</v>
      </c>
    </row>
    <row r="10" spans="1:2" x14ac:dyDescent="0.2">
      <c r="A10" s="3" t="s">
        <v>4</v>
      </c>
      <c r="B10">
        <v>37</v>
      </c>
    </row>
    <row r="11" spans="1:2" x14ac:dyDescent="0.2">
      <c r="A11" s="3" t="s">
        <v>7</v>
      </c>
      <c r="B11">
        <v>53</v>
      </c>
    </row>
    <row r="12" spans="1:2" x14ac:dyDescent="0.2">
      <c r="A12" s="3" t="s">
        <v>27</v>
      </c>
      <c r="B12">
        <v>379</v>
      </c>
    </row>
    <row r="13" spans="1:2" x14ac:dyDescent="0.2">
      <c r="A13" s="3" t="s">
        <v>10</v>
      </c>
      <c r="B13">
        <v>32</v>
      </c>
    </row>
    <row r="14" spans="1:2" x14ac:dyDescent="0.2">
      <c r="A14" s="2" t="s">
        <v>35</v>
      </c>
      <c r="B14">
        <v>1221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5E6F7-5F5A-41A4-984A-3EBBA5D9B43F}">
  <dimension ref="A3:B10"/>
  <sheetViews>
    <sheetView workbookViewId="0">
      <selection activeCell="A12" sqref="A12"/>
    </sheetView>
  </sheetViews>
  <sheetFormatPr baseColWidth="10" defaultColWidth="8.83203125" defaultRowHeight="15" x14ac:dyDescent="0.2"/>
  <cols>
    <col min="1" max="1" width="18.83203125" bestFit="1" customWidth="1"/>
    <col min="2" max="2" width="21.1640625" bestFit="1" customWidth="1"/>
  </cols>
  <sheetData>
    <row r="3" spans="1:2" x14ac:dyDescent="0.2">
      <c r="A3" s="1" t="s">
        <v>34</v>
      </c>
      <c r="B3" t="s">
        <v>36</v>
      </c>
    </row>
    <row r="4" spans="1:2" x14ac:dyDescent="0.2">
      <c r="A4" s="2" t="s">
        <v>15</v>
      </c>
      <c r="B4">
        <v>9</v>
      </c>
    </row>
    <row r="5" spans="1:2" x14ac:dyDescent="0.2">
      <c r="A5" s="3" t="s">
        <v>16</v>
      </c>
      <c r="B5">
        <v>9</v>
      </c>
    </row>
    <row r="6" spans="1:2" x14ac:dyDescent="0.2">
      <c r="A6" s="2" t="s">
        <v>25</v>
      </c>
      <c r="B6">
        <v>1</v>
      </c>
    </row>
    <row r="7" spans="1:2" x14ac:dyDescent="0.2">
      <c r="A7" s="3" t="s">
        <v>16</v>
      </c>
      <c r="B7">
        <v>1</v>
      </c>
    </row>
    <row r="8" spans="1:2" x14ac:dyDescent="0.2">
      <c r="A8" s="2" t="s">
        <v>26</v>
      </c>
      <c r="B8">
        <v>5</v>
      </c>
    </row>
    <row r="9" spans="1:2" x14ac:dyDescent="0.2">
      <c r="A9" s="3" t="s">
        <v>16</v>
      </c>
      <c r="B9">
        <v>5</v>
      </c>
    </row>
    <row r="10" spans="1:2" x14ac:dyDescent="0.2">
      <c r="A10" s="2" t="s">
        <v>35</v>
      </c>
      <c r="B10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workbookViewId="0"/>
  </sheetViews>
  <sheetFormatPr baseColWidth="10" defaultColWidth="8.83203125" defaultRowHeight="15" x14ac:dyDescent="0.2"/>
  <cols>
    <col min="1" max="1" width="29.5" bestFit="1" customWidth="1"/>
    <col min="2" max="2" width="26.1640625" bestFit="1" customWidth="1"/>
    <col min="3" max="3" width="16.5" bestFit="1" customWidth="1"/>
  </cols>
  <sheetData>
    <row r="1" spans="1:6" x14ac:dyDescent="0.2">
      <c r="A1" t="s">
        <v>0</v>
      </c>
      <c r="B1" t="s">
        <v>1</v>
      </c>
      <c r="C1" t="s">
        <v>2</v>
      </c>
      <c r="E1" t="s">
        <v>29</v>
      </c>
      <c r="F1">
        <f>SUM(Table1[Equipment Count])</f>
        <v>1582</v>
      </c>
    </row>
    <row r="2" spans="1:6" x14ac:dyDescent="0.2">
      <c r="A2" t="s">
        <v>5</v>
      </c>
      <c r="B2" t="s">
        <v>6</v>
      </c>
      <c r="C2">
        <v>21</v>
      </c>
      <c r="E2" t="s">
        <v>30</v>
      </c>
      <c r="F2">
        <f>AVERAGE(Table1[Equipment Count])</f>
        <v>32.285714285714285</v>
      </c>
    </row>
    <row r="3" spans="1:6" x14ac:dyDescent="0.2">
      <c r="A3" t="s">
        <v>5</v>
      </c>
      <c r="B3" t="s">
        <v>7</v>
      </c>
      <c r="C3">
        <v>1</v>
      </c>
      <c r="E3" t="s">
        <v>32</v>
      </c>
      <c r="F3">
        <f>COUNT(Table1[Equipment Count])</f>
        <v>49</v>
      </c>
    </row>
    <row r="4" spans="1:6" x14ac:dyDescent="0.2">
      <c r="A4" t="s">
        <v>5</v>
      </c>
      <c r="B4" t="s">
        <v>4</v>
      </c>
      <c r="C4">
        <v>23</v>
      </c>
      <c r="E4" t="s">
        <v>31</v>
      </c>
      <c r="F4">
        <f>MIN(Table1[Equipment Count])</f>
        <v>1</v>
      </c>
    </row>
    <row r="5" spans="1:6" x14ac:dyDescent="0.2">
      <c r="A5" t="s">
        <v>8</v>
      </c>
      <c r="B5" t="s">
        <v>4</v>
      </c>
      <c r="C5">
        <v>2</v>
      </c>
      <c r="E5" t="s">
        <v>33</v>
      </c>
      <c r="F5">
        <f>MAX(Table1[Equipment Count])</f>
        <v>379</v>
      </c>
    </row>
    <row r="6" spans="1:6" x14ac:dyDescent="0.2">
      <c r="A6" t="s">
        <v>9</v>
      </c>
      <c r="B6" t="s">
        <v>6</v>
      </c>
      <c r="C6">
        <v>3</v>
      </c>
    </row>
    <row r="7" spans="1:6" x14ac:dyDescent="0.2">
      <c r="A7" t="s">
        <v>9</v>
      </c>
      <c r="B7" t="s">
        <v>10</v>
      </c>
      <c r="C7">
        <v>2</v>
      </c>
    </row>
    <row r="8" spans="1:6" x14ac:dyDescent="0.2">
      <c r="A8" t="s">
        <v>9</v>
      </c>
      <c r="B8" t="s">
        <v>11</v>
      </c>
      <c r="C8">
        <v>1</v>
      </c>
    </row>
    <row r="9" spans="1:6" x14ac:dyDescent="0.2">
      <c r="A9" t="s">
        <v>12</v>
      </c>
      <c r="B9" t="s">
        <v>10</v>
      </c>
      <c r="C9">
        <v>2</v>
      </c>
    </row>
    <row r="10" spans="1:6" x14ac:dyDescent="0.2">
      <c r="A10" t="s">
        <v>12</v>
      </c>
      <c r="B10" t="s">
        <v>13</v>
      </c>
      <c r="C10">
        <v>42</v>
      </c>
    </row>
    <row r="11" spans="1:6" x14ac:dyDescent="0.2">
      <c r="A11" t="s">
        <v>12</v>
      </c>
      <c r="B11" t="s">
        <v>7</v>
      </c>
      <c r="C11">
        <v>1</v>
      </c>
    </row>
    <row r="12" spans="1:6" x14ac:dyDescent="0.2">
      <c r="A12" t="s">
        <v>12</v>
      </c>
      <c r="B12" t="s">
        <v>4</v>
      </c>
      <c r="C12">
        <v>11</v>
      </c>
    </row>
    <row r="13" spans="1:6" x14ac:dyDescent="0.2">
      <c r="A13" t="s">
        <v>14</v>
      </c>
      <c r="B13" t="s">
        <v>7</v>
      </c>
      <c r="C13">
        <v>1</v>
      </c>
    </row>
    <row r="14" spans="1:6" x14ac:dyDescent="0.2">
      <c r="A14" t="s">
        <v>15</v>
      </c>
      <c r="B14" t="s">
        <v>16</v>
      </c>
      <c r="C14">
        <v>9</v>
      </c>
    </row>
    <row r="15" spans="1:6" x14ac:dyDescent="0.2">
      <c r="A15" t="s">
        <v>15</v>
      </c>
      <c r="B15" t="s">
        <v>7</v>
      </c>
      <c r="C15">
        <v>27</v>
      </c>
    </row>
    <row r="16" spans="1:6" x14ac:dyDescent="0.2">
      <c r="A16" t="s">
        <v>15</v>
      </c>
      <c r="B16" t="s">
        <v>6</v>
      </c>
      <c r="C16">
        <v>24</v>
      </c>
    </row>
    <row r="17" spans="1:3" x14ac:dyDescent="0.2">
      <c r="A17" t="s">
        <v>15</v>
      </c>
      <c r="B17" t="s">
        <v>10</v>
      </c>
      <c r="C17">
        <v>1</v>
      </c>
    </row>
    <row r="18" spans="1:3" x14ac:dyDescent="0.2">
      <c r="A18" t="s">
        <v>15</v>
      </c>
      <c r="B18" t="s">
        <v>4</v>
      </c>
      <c r="C18">
        <v>48</v>
      </c>
    </row>
    <row r="19" spans="1:3" x14ac:dyDescent="0.2">
      <c r="A19" t="s">
        <v>17</v>
      </c>
      <c r="B19" t="s">
        <v>10</v>
      </c>
      <c r="C19">
        <v>1</v>
      </c>
    </row>
    <row r="20" spans="1:3" x14ac:dyDescent="0.2">
      <c r="A20" t="s">
        <v>18</v>
      </c>
      <c r="B20" t="s">
        <v>4</v>
      </c>
      <c r="C20">
        <v>6</v>
      </c>
    </row>
    <row r="21" spans="1:3" x14ac:dyDescent="0.2">
      <c r="A21" t="s">
        <v>18</v>
      </c>
      <c r="B21" t="s">
        <v>6</v>
      </c>
      <c r="C21">
        <v>5</v>
      </c>
    </row>
    <row r="22" spans="1:3" x14ac:dyDescent="0.2">
      <c r="A22" t="s">
        <v>18</v>
      </c>
      <c r="B22" t="s">
        <v>7</v>
      </c>
      <c r="C22">
        <v>2</v>
      </c>
    </row>
    <row r="23" spans="1:3" x14ac:dyDescent="0.2">
      <c r="A23" t="s">
        <v>18</v>
      </c>
      <c r="B23" t="s">
        <v>10</v>
      </c>
      <c r="C23">
        <v>15</v>
      </c>
    </row>
    <row r="24" spans="1:3" x14ac:dyDescent="0.2">
      <c r="A24" t="s">
        <v>18</v>
      </c>
      <c r="B24" t="s">
        <v>28</v>
      </c>
      <c r="C24">
        <v>7</v>
      </c>
    </row>
    <row r="25" spans="1:3" x14ac:dyDescent="0.2">
      <c r="A25" t="s">
        <v>19</v>
      </c>
      <c r="B25" t="s">
        <v>3</v>
      </c>
      <c r="C25">
        <v>20</v>
      </c>
    </row>
    <row r="26" spans="1:3" x14ac:dyDescent="0.2">
      <c r="A26" t="s">
        <v>19</v>
      </c>
      <c r="B26" t="s">
        <v>4</v>
      </c>
      <c r="C26">
        <v>1</v>
      </c>
    </row>
    <row r="27" spans="1:3" x14ac:dyDescent="0.2">
      <c r="A27" t="s">
        <v>19</v>
      </c>
      <c r="B27" t="s">
        <v>11</v>
      </c>
      <c r="C27">
        <v>1</v>
      </c>
    </row>
    <row r="28" spans="1:3" x14ac:dyDescent="0.2">
      <c r="A28" t="s">
        <v>19</v>
      </c>
      <c r="B28" t="s">
        <v>6</v>
      </c>
      <c r="C28">
        <v>3</v>
      </c>
    </row>
    <row r="29" spans="1:3" x14ac:dyDescent="0.2">
      <c r="A29" t="s">
        <v>19</v>
      </c>
      <c r="B29" t="s">
        <v>7</v>
      </c>
      <c r="C29">
        <v>1</v>
      </c>
    </row>
    <row r="30" spans="1:3" x14ac:dyDescent="0.2">
      <c r="A30" t="s">
        <v>19</v>
      </c>
      <c r="B30" t="s">
        <v>20</v>
      </c>
      <c r="C30">
        <v>8</v>
      </c>
    </row>
    <row r="31" spans="1:3" x14ac:dyDescent="0.2">
      <c r="A31" t="s">
        <v>19</v>
      </c>
      <c r="B31" t="s">
        <v>21</v>
      </c>
      <c r="C31">
        <v>4</v>
      </c>
    </row>
    <row r="32" spans="1:3" x14ac:dyDescent="0.2">
      <c r="A32" t="s">
        <v>19</v>
      </c>
      <c r="B32" t="s">
        <v>22</v>
      </c>
      <c r="C32">
        <v>46</v>
      </c>
    </row>
    <row r="33" spans="1:3" x14ac:dyDescent="0.2">
      <c r="A33" t="s">
        <v>19</v>
      </c>
      <c r="B33" t="s">
        <v>23</v>
      </c>
      <c r="C33">
        <v>1</v>
      </c>
    </row>
    <row r="34" spans="1:3" x14ac:dyDescent="0.2">
      <c r="A34" t="s">
        <v>24</v>
      </c>
      <c r="B34" t="s">
        <v>22</v>
      </c>
      <c r="C34">
        <v>1</v>
      </c>
    </row>
    <row r="35" spans="1:3" x14ac:dyDescent="0.2">
      <c r="A35" t="s">
        <v>24</v>
      </c>
      <c r="B35" t="s">
        <v>10</v>
      </c>
      <c r="C35">
        <v>1</v>
      </c>
    </row>
    <row r="36" spans="1:3" x14ac:dyDescent="0.2">
      <c r="A36" t="s">
        <v>24</v>
      </c>
      <c r="B36" t="s">
        <v>7</v>
      </c>
      <c r="C36">
        <v>1</v>
      </c>
    </row>
    <row r="37" spans="1:3" x14ac:dyDescent="0.2">
      <c r="A37" t="s">
        <v>24</v>
      </c>
      <c r="B37" t="s">
        <v>4</v>
      </c>
      <c r="C37">
        <v>2</v>
      </c>
    </row>
    <row r="38" spans="1:3" x14ac:dyDescent="0.2">
      <c r="A38" t="s">
        <v>25</v>
      </c>
      <c r="B38" t="s">
        <v>6</v>
      </c>
      <c r="C38">
        <v>1</v>
      </c>
    </row>
    <row r="39" spans="1:3" x14ac:dyDescent="0.2">
      <c r="A39" t="s">
        <v>25</v>
      </c>
      <c r="B39" t="s">
        <v>16</v>
      </c>
      <c r="C39">
        <v>1</v>
      </c>
    </row>
    <row r="40" spans="1:3" x14ac:dyDescent="0.2">
      <c r="A40" t="s">
        <v>25</v>
      </c>
      <c r="B40" t="s">
        <v>10</v>
      </c>
      <c r="C40">
        <v>11</v>
      </c>
    </row>
    <row r="41" spans="1:3" x14ac:dyDescent="0.2">
      <c r="A41" t="s">
        <v>25</v>
      </c>
      <c r="B41" t="s">
        <v>7</v>
      </c>
      <c r="C41">
        <v>3</v>
      </c>
    </row>
    <row r="42" spans="1:3" x14ac:dyDescent="0.2">
      <c r="A42" t="s">
        <v>26</v>
      </c>
      <c r="B42" t="s">
        <v>6</v>
      </c>
      <c r="C42">
        <v>93</v>
      </c>
    </row>
    <row r="43" spans="1:3" x14ac:dyDescent="0.2">
      <c r="A43" t="s">
        <v>26</v>
      </c>
      <c r="B43" t="s">
        <v>13</v>
      </c>
      <c r="C43">
        <v>248</v>
      </c>
    </row>
    <row r="44" spans="1:3" x14ac:dyDescent="0.2">
      <c r="A44" t="s">
        <v>26</v>
      </c>
      <c r="B44" t="s">
        <v>27</v>
      </c>
      <c r="C44">
        <v>379</v>
      </c>
    </row>
    <row r="45" spans="1:3" x14ac:dyDescent="0.2">
      <c r="A45" t="s">
        <v>26</v>
      </c>
      <c r="B45" t="s">
        <v>7</v>
      </c>
      <c r="C45">
        <v>53</v>
      </c>
    </row>
    <row r="46" spans="1:3" x14ac:dyDescent="0.2">
      <c r="A46" t="s">
        <v>26</v>
      </c>
      <c r="B46" t="s">
        <v>10</v>
      </c>
      <c r="C46">
        <v>32</v>
      </c>
    </row>
    <row r="47" spans="1:3" x14ac:dyDescent="0.2">
      <c r="A47" t="s">
        <v>26</v>
      </c>
      <c r="B47" t="s">
        <v>11</v>
      </c>
      <c r="C47">
        <v>98</v>
      </c>
    </row>
    <row r="48" spans="1:3" x14ac:dyDescent="0.2">
      <c r="A48" t="s">
        <v>26</v>
      </c>
      <c r="B48" t="s">
        <v>28</v>
      </c>
      <c r="C48">
        <v>276</v>
      </c>
    </row>
    <row r="49" spans="1:3" x14ac:dyDescent="0.2">
      <c r="A49" t="s">
        <v>26</v>
      </c>
      <c r="B49" t="s">
        <v>16</v>
      </c>
      <c r="C49">
        <v>5</v>
      </c>
    </row>
    <row r="50" spans="1:3" x14ac:dyDescent="0.2">
      <c r="A50" t="s">
        <v>26</v>
      </c>
      <c r="B50" t="s">
        <v>4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460AA-2DD4-974E-BB1A-5C2688DBCED2}">
  <dimension ref="A1:D54"/>
  <sheetViews>
    <sheetView tabSelected="1" workbookViewId="0">
      <selection activeCell="H14" sqref="H14"/>
    </sheetView>
  </sheetViews>
  <sheetFormatPr baseColWidth="10" defaultRowHeight="15" x14ac:dyDescent="0.2"/>
  <cols>
    <col min="4" max="4" width="14.5" bestFit="1" customWidth="1"/>
  </cols>
  <sheetData>
    <row r="1" spans="1:4" x14ac:dyDescent="0.2">
      <c r="A1" t="s">
        <v>0</v>
      </c>
      <c r="B1" t="s">
        <v>0</v>
      </c>
      <c r="C1" t="s">
        <v>1</v>
      </c>
      <c r="D1" t="s">
        <v>2</v>
      </c>
    </row>
    <row r="2" spans="1:4" x14ac:dyDescent="0.2">
      <c r="A2" t="s">
        <v>37</v>
      </c>
      <c r="B2" t="s">
        <v>38</v>
      </c>
      <c r="C2" t="s">
        <v>10</v>
      </c>
      <c r="D2">
        <v>1</v>
      </c>
    </row>
    <row r="3" spans="1:4" x14ac:dyDescent="0.2">
      <c r="A3" t="s">
        <v>39</v>
      </c>
      <c r="B3" t="s">
        <v>40</v>
      </c>
      <c r="C3" t="s">
        <v>7</v>
      </c>
      <c r="D3">
        <v>1</v>
      </c>
    </row>
    <row r="4" spans="1:4" x14ac:dyDescent="0.2">
      <c r="A4" t="s">
        <v>41</v>
      </c>
      <c r="B4" t="s">
        <v>42</v>
      </c>
      <c r="C4" t="s">
        <v>4</v>
      </c>
      <c r="D4">
        <v>1</v>
      </c>
    </row>
    <row r="5" spans="1:4" x14ac:dyDescent="0.2">
      <c r="A5" t="s">
        <v>43</v>
      </c>
      <c r="B5" t="s">
        <v>44</v>
      </c>
      <c r="C5" t="s">
        <v>4</v>
      </c>
      <c r="D5">
        <v>1</v>
      </c>
    </row>
    <row r="6" spans="1:4" x14ac:dyDescent="0.2">
      <c r="A6" t="s">
        <v>45</v>
      </c>
      <c r="B6" t="s">
        <v>46</v>
      </c>
      <c r="C6" t="s">
        <v>22</v>
      </c>
      <c r="D6">
        <v>1</v>
      </c>
    </row>
    <row r="7" spans="1:4" x14ac:dyDescent="0.2">
      <c r="A7" t="s">
        <v>45</v>
      </c>
      <c r="B7" t="s">
        <v>46</v>
      </c>
      <c r="C7" t="s">
        <v>6</v>
      </c>
      <c r="D7">
        <v>1</v>
      </c>
    </row>
    <row r="8" spans="1:4" x14ac:dyDescent="0.2">
      <c r="A8" t="s">
        <v>45</v>
      </c>
      <c r="B8" t="s">
        <v>46</v>
      </c>
      <c r="C8" t="s">
        <v>16</v>
      </c>
      <c r="D8">
        <v>1</v>
      </c>
    </row>
    <row r="9" spans="1:4" x14ac:dyDescent="0.2">
      <c r="A9" t="s">
        <v>47</v>
      </c>
      <c r="B9" t="s">
        <v>48</v>
      </c>
      <c r="C9" t="s">
        <v>7</v>
      </c>
      <c r="D9">
        <v>1</v>
      </c>
    </row>
    <row r="10" spans="1:4" x14ac:dyDescent="0.2">
      <c r="A10" t="s">
        <v>49</v>
      </c>
      <c r="B10" t="s">
        <v>44</v>
      </c>
      <c r="C10" t="s">
        <v>16</v>
      </c>
      <c r="D10">
        <v>1</v>
      </c>
    </row>
    <row r="11" spans="1:4" x14ac:dyDescent="0.2">
      <c r="A11" t="s">
        <v>50</v>
      </c>
      <c r="B11" t="s">
        <v>51</v>
      </c>
      <c r="C11" t="s">
        <v>4</v>
      </c>
      <c r="D11">
        <v>1</v>
      </c>
    </row>
    <row r="12" spans="1:4" x14ac:dyDescent="0.2">
      <c r="A12" t="s">
        <v>50</v>
      </c>
      <c r="B12" t="s">
        <v>51</v>
      </c>
      <c r="C12" t="s">
        <v>52</v>
      </c>
      <c r="D12">
        <v>1</v>
      </c>
    </row>
    <row r="13" spans="1:4" x14ac:dyDescent="0.2">
      <c r="A13" t="s">
        <v>50</v>
      </c>
      <c r="B13" t="s">
        <v>51</v>
      </c>
      <c r="C13" t="s">
        <v>13</v>
      </c>
      <c r="D13">
        <v>1</v>
      </c>
    </row>
    <row r="14" spans="1:4" x14ac:dyDescent="0.2">
      <c r="A14" t="s">
        <v>50</v>
      </c>
      <c r="B14" t="s">
        <v>51</v>
      </c>
      <c r="C14" t="s">
        <v>27</v>
      </c>
      <c r="D14">
        <v>1</v>
      </c>
    </row>
    <row r="15" spans="1:4" x14ac:dyDescent="0.2">
      <c r="A15" t="s">
        <v>53</v>
      </c>
      <c r="B15" t="s">
        <v>54</v>
      </c>
      <c r="C15" t="s">
        <v>20</v>
      </c>
      <c r="D15">
        <v>1</v>
      </c>
    </row>
    <row r="16" spans="1:4" x14ac:dyDescent="0.2">
      <c r="A16" t="s">
        <v>53</v>
      </c>
      <c r="B16" t="s">
        <v>54</v>
      </c>
      <c r="C16" t="s">
        <v>52</v>
      </c>
      <c r="D16">
        <v>1</v>
      </c>
    </row>
    <row r="17" spans="1:4" x14ac:dyDescent="0.2">
      <c r="A17" t="s">
        <v>55</v>
      </c>
      <c r="B17" t="s">
        <v>54</v>
      </c>
      <c r="C17" t="s">
        <v>3</v>
      </c>
      <c r="D17">
        <v>1</v>
      </c>
    </row>
    <row r="18" spans="1:4" x14ac:dyDescent="0.2">
      <c r="A18" t="s">
        <v>37</v>
      </c>
      <c r="B18" t="s">
        <v>38</v>
      </c>
      <c r="C18" t="s">
        <v>28</v>
      </c>
      <c r="D18">
        <v>2</v>
      </c>
    </row>
    <row r="19" spans="1:4" x14ac:dyDescent="0.2">
      <c r="A19" t="s">
        <v>56</v>
      </c>
      <c r="B19" t="s">
        <v>57</v>
      </c>
      <c r="C19" t="s">
        <v>7</v>
      </c>
      <c r="D19">
        <v>2</v>
      </c>
    </row>
    <row r="20" spans="1:4" x14ac:dyDescent="0.2">
      <c r="A20" t="s">
        <v>45</v>
      </c>
      <c r="B20" t="s">
        <v>46</v>
      </c>
      <c r="C20" t="s">
        <v>3</v>
      </c>
      <c r="D20">
        <v>2</v>
      </c>
    </row>
    <row r="21" spans="1:4" x14ac:dyDescent="0.2">
      <c r="A21" t="s">
        <v>58</v>
      </c>
      <c r="B21" t="s">
        <v>59</v>
      </c>
      <c r="C21" t="s">
        <v>4</v>
      </c>
      <c r="D21">
        <v>2</v>
      </c>
    </row>
    <row r="22" spans="1:4" x14ac:dyDescent="0.2">
      <c r="A22" t="s">
        <v>49</v>
      </c>
      <c r="B22" t="s">
        <v>44</v>
      </c>
      <c r="C22" t="s">
        <v>11</v>
      </c>
      <c r="D22">
        <v>2</v>
      </c>
    </row>
    <row r="23" spans="1:4" x14ac:dyDescent="0.2">
      <c r="A23" t="s">
        <v>50</v>
      </c>
      <c r="B23" t="s">
        <v>51</v>
      </c>
      <c r="C23" t="s">
        <v>28</v>
      </c>
      <c r="D23">
        <v>2</v>
      </c>
    </row>
    <row r="24" spans="1:4" x14ac:dyDescent="0.2">
      <c r="A24" t="s">
        <v>45</v>
      </c>
      <c r="B24" t="s">
        <v>46</v>
      </c>
      <c r="C24" t="s">
        <v>28</v>
      </c>
      <c r="D24">
        <v>3</v>
      </c>
    </row>
    <row r="25" spans="1:4" x14ac:dyDescent="0.2">
      <c r="A25" t="s">
        <v>45</v>
      </c>
      <c r="B25" t="s">
        <v>46</v>
      </c>
      <c r="C25" t="s">
        <v>7</v>
      </c>
      <c r="D25">
        <v>3</v>
      </c>
    </row>
    <row r="26" spans="1:4" x14ac:dyDescent="0.2">
      <c r="A26" t="s">
        <v>58</v>
      </c>
      <c r="B26" t="s">
        <v>59</v>
      </c>
      <c r="C26" t="s">
        <v>3</v>
      </c>
      <c r="D26">
        <v>3</v>
      </c>
    </row>
    <row r="27" spans="1:4" x14ac:dyDescent="0.2">
      <c r="A27" t="s">
        <v>49</v>
      </c>
      <c r="B27" t="s">
        <v>44</v>
      </c>
      <c r="C27" t="s">
        <v>10</v>
      </c>
      <c r="D27">
        <v>3</v>
      </c>
    </row>
    <row r="28" spans="1:4" x14ac:dyDescent="0.2">
      <c r="A28" t="s">
        <v>60</v>
      </c>
      <c r="C28" t="s">
        <v>4</v>
      </c>
      <c r="D28">
        <v>3</v>
      </c>
    </row>
    <row r="29" spans="1:4" x14ac:dyDescent="0.2">
      <c r="A29" t="s">
        <v>53</v>
      </c>
      <c r="B29" t="s">
        <v>54</v>
      </c>
      <c r="C29" t="s">
        <v>11</v>
      </c>
      <c r="D29">
        <v>3</v>
      </c>
    </row>
    <row r="30" spans="1:4" x14ac:dyDescent="0.2">
      <c r="A30" t="s">
        <v>50</v>
      </c>
      <c r="B30" t="s">
        <v>51</v>
      </c>
      <c r="C30" t="s">
        <v>10</v>
      </c>
      <c r="D30">
        <v>4</v>
      </c>
    </row>
    <row r="31" spans="1:4" x14ac:dyDescent="0.2">
      <c r="A31" t="s">
        <v>50</v>
      </c>
      <c r="B31" t="s">
        <v>51</v>
      </c>
      <c r="C31" t="s">
        <v>21</v>
      </c>
      <c r="D31">
        <v>4</v>
      </c>
    </row>
    <row r="32" spans="1:4" x14ac:dyDescent="0.2">
      <c r="A32" t="s">
        <v>53</v>
      </c>
      <c r="B32" t="s">
        <v>54</v>
      </c>
      <c r="C32" t="s">
        <v>16</v>
      </c>
      <c r="D32">
        <v>5</v>
      </c>
    </row>
    <row r="33" spans="1:4" x14ac:dyDescent="0.2">
      <c r="A33" t="s">
        <v>53</v>
      </c>
      <c r="B33" t="s">
        <v>54</v>
      </c>
      <c r="C33" t="s">
        <v>13</v>
      </c>
      <c r="D33">
        <v>5</v>
      </c>
    </row>
    <row r="34" spans="1:4" x14ac:dyDescent="0.2">
      <c r="A34" t="s">
        <v>55</v>
      </c>
      <c r="B34" t="s">
        <v>54</v>
      </c>
      <c r="C34" t="s">
        <v>16</v>
      </c>
      <c r="D34">
        <v>5</v>
      </c>
    </row>
    <row r="35" spans="1:4" x14ac:dyDescent="0.2">
      <c r="A35" t="s">
        <v>50</v>
      </c>
      <c r="B35" t="s">
        <v>51</v>
      </c>
      <c r="C35" t="s">
        <v>7</v>
      </c>
      <c r="D35">
        <v>6</v>
      </c>
    </row>
    <row r="36" spans="1:4" x14ac:dyDescent="0.2">
      <c r="A36" t="s">
        <v>56</v>
      </c>
      <c r="B36" t="s">
        <v>57</v>
      </c>
      <c r="C36" t="s">
        <v>28</v>
      </c>
      <c r="D36">
        <v>7</v>
      </c>
    </row>
    <row r="37" spans="1:4" x14ac:dyDescent="0.2">
      <c r="A37" t="s">
        <v>56</v>
      </c>
      <c r="B37" t="s">
        <v>57</v>
      </c>
      <c r="C37" t="s">
        <v>6</v>
      </c>
      <c r="D37">
        <v>8</v>
      </c>
    </row>
    <row r="38" spans="1:4" x14ac:dyDescent="0.2">
      <c r="A38" t="s">
        <v>45</v>
      </c>
      <c r="B38" t="s">
        <v>46</v>
      </c>
      <c r="C38" t="s">
        <v>10</v>
      </c>
      <c r="D38">
        <v>8</v>
      </c>
    </row>
    <row r="39" spans="1:4" x14ac:dyDescent="0.2">
      <c r="A39" t="s">
        <v>45</v>
      </c>
      <c r="B39" t="s">
        <v>46</v>
      </c>
      <c r="C39" t="s">
        <v>4</v>
      </c>
      <c r="D39">
        <v>10</v>
      </c>
    </row>
    <row r="40" spans="1:4" x14ac:dyDescent="0.2">
      <c r="A40" t="s">
        <v>50</v>
      </c>
      <c r="B40" t="s">
        <v>51</v>
      </c>
      <c r="C40" t="s">
        <v>20</v>
      </c>
      <c r="D40">
        <v>11</v>
      </c>
    </row>
    <row r="41" spans="1:4" x14ac:dyDescent="0.2">
      <c r="A41" t="s">
        <v>50</v>
      </c>
      <c r="B41" t="s">
        <v>51</v>
      </c>
      <c r="C41" t="s">
        <v>23</v>
      </c>
      <c r="D41">
        <v>12</v>
      </c>
    </row>
    <row r="42" spans="1:4" x14ac:dyDescent="0.2">
      <c r="A42" t="s">
        <v>50</v>
      </c>
      <c r="B42" t="s">
        <v>51</v>
      </c>
      <c r="C42" t="s">
        <v>6</v>
      </c>
      <c r="D42">
        <v>12</v>
      </c>
    </row>
    <row r="43" spans="1:4" x14ac:dyDescent="0.2">
      <c r="A43" t="s">
        <v>49</v>
      </c>
      <c r="B43" t="s">
        <v>44</v>
      </c>
      <c r="C43" t="s">
        <v>4</v>
      </c>
      <c r="D43">
        <v>15</v>
      </c>
    </row>
    <row r="44" spans="1:4" x14ac:dyDescent="0.2">
      <c r="A44" t="s">
        <v>55</v>
      </c>
      <c r="B44" t="s">
        <v>54</v>
      </c>
      <c r="C44" t="s">
        <v>10</v>
      </c>
      <c r="D44">
        <v>15</v>
      </c>
    </row>
    <row r="45" spans="1:4" x14ac:dyDescent="0.2">
      <c r="A45" t="s">
        <v>49</v>
      </c>
      <c r="B45" t="s">
        <v>44</v>
      </c>
      <c r="C45" t="s">
        <v>7</v>
      </c>
      <c r="D45">
        <v>18</v>
      </c>
    </row>
    <row r="46" spans="1:4" x14ac:dyDescent="0.2">
      <c r="A46" t="s">
        <v>50</v>
      </c>
      <c r="B46" t="s">
        <v>51</v>
      </c>
      <c r="C46" t="s">
        <v>22</v>
      </c>
      <c r="D46">
        <v>18</v>
      </c>
    </row>
    <row r="47" spans="1:4" x14ac:dyDescent="0.2">
      <c r="A47" t="s">
        <v>53</v>
      </c>
      <c r="B47" t="s">
        <v>54</v>
      </c>
      <c r="C47" t="s">
        <v>7</v>
      </c>
      <c r="D47">
        <v>21</v>
      </c>
    </row>
    <row r="48" spans="1:4" x14ac:dyDescent="0.2">
      <c r="A48" t="s">
        <v>50</v>
      </c>
      <c r="B48" t="s">
        <v>51</v>
      </c>
      <c r="C48" t="s">
        <v>3</v>
      </c>
      <c r="D48">
        <v>27</v>
      </c>
    </row>
    <row r="49" spans="1:4" x14ac:dyDescent="0.2">
      <c r="A49" t="s">
        <v>53</v>
      </c>
      <c r="B49" t="s">
        <v>54</v>
      </c>
      <c r="C49" t="s">
        <v>4</v>
      </c>
      <c r="D49">
        <v>31</v>
      </c>
    </row>
    <row r="50" spans="1:4" x14ac:dyDescent="0.2">
      <c r="A50" t="s">
        <v>49</v>
      </c>
      <c r="B50" t="s">
        <v>44</v>
      </c>
      <c r="C50" t="s">
        <v>6</v>
      </c>
      <c r="D50">
        <v>33</v>
      </c>
    </row>
    <row r="51" spans="1:4" x14ac:dyDescent="0.2">
      <c r="A51" t="s">
        <v>53</v>
      </c>
      <c r="B51" t="s">
        <v>54</v>
      </c>
      <c r="C51" t="s">
        <v>10</v>
      </c>
      <c r="D51">
        <v>42</v>
      </c>
    </row>
    <row r="52" spans="1:4" x14ac:dyDescent="0.2">
      <c r="A52" t="s">
        <v>53</v>
      </c>
      <c r="B52" t="s">
        <v>54</v>
      </c>
      <c r="C52" t="s">
        <v>28</v>
      </c>
      <c r="D52">
        <v>45</v>
      </c>
    </row>
    <row r="53" spans="1:4" x14ac:dyDescent="0.2">
      <c r="A53" t="s">
        <v>53</v>
      </c>
      <c r="B53" t="s">
        <v>54</v>
      </c>
      <c r="C53" t="s">
        <v>6</v>
      </c>
      <c r="D53">
        <v>48</v>
      </c>
    </row>
    <row r="54" spans="1:4" x14ac:dyDescent="0.2">
      <c r="A54" t="s">
        <v>55</v>
      </c>
      <c r="B54" t="s">
        <v>54</v>
      </c>
      <c r="C54" t="s">
        <v>4</v>
      </c>
      <c r="D5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Pivot1</vt:lpstr>
      <vt:lpstr>Pivot2</vt:lpstr>
      <vt:lpstr>Pivot3</vt:lpstr>
      <vt:lpstr>Montgomery_Fleet_Equipment_In2</vt:lpstr>
      <vt:lpstr>Montgomery_Fleet_Equipment_In1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Lam</dc:creator>
  <cp:lastModifiedBy>Richard Lam</cp:lastModifiedBy>
  <dcterms:created xsi:type="dcterms:W3CDTF">2020-09-01T17:18:12Z</dcterms:created>
  <dcterms:modified xsi:type="dcterms:W3CDTF">2026-06-09T20:00:33Z</dcterms:modified>
</cp:coreProperties>
</file>